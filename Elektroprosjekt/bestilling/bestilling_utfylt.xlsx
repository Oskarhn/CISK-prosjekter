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stil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30" customWidth="1" min="3" max="3"/>
    <col width="8" customWidth="1" min="4" max="4"/>
    <col width="8" customWidth="1" min="5" max="5"/>
    <col width="12" customWidth="1" min="6" max="6"/>
    <col width="15" customWidth="1" min="7" max="7"/>
    <col width="12" customWidth="1" min="8" max="8"/>
    <col width="20" customWidth="1" min="9" max="9"/>
  </cols>
  <sheetData>
    <row r="1">
      <c r="A1" s="1" t="inlineStr">
        <is>
          <t>BOM — EMB-generator (v2)</t>
        </is>
      </c>
    </row>
    <row r="2">
      <c r="A2" s="1" t="inlineStr">
        <is>
          <t>Kontrollkrets (PCB 110x100 mm, 2-lag) + off-board</t>
        </is>
      </c>
    </row>
    <row r="3">
      <c r="A3" s="1" t="inlineStr">
        <is>
          <t>ID</t>
        </is>
      </c>
      <c r="B3" s="1" t="inlineStr">
        <is>
          <t>Navn</t>
        </is>
      </c>
      <c r="C3" s="1" t="inlineStr">
        <is>
          <t>Verdi/Spes</t>
        </is>
      </c>
      <c r="D3" s="1" t="inlineStr">
        <is>
          <t>Antall</t>
        </is>
      </c>
      <c r="E3" s="1" t="inlineStr">
        <is>
          <t>Min.</t>
        </is>
      </c>
      <c r="F3" s="1" t="inlineStr">
        <is>
          <t>Pris (NOK)</t>
        </is>
      </c>
      <c r="G3" s="1" t="inlineStr">
        <is>
          <t>Sum (NOK)</t>
        </is>
      </c>
      <c r="H3" s="1" t="inlineStr">
        <is>
          <t>Leverandør</t>
        </is>
      </c>
      <c r="I3" s="1" t="inlineStr">
        <is>
          <t>Delnummer</t>
        </is>
      </c>
    </row>
    <row r="4">
      <c r="A4" t="inlineStr">
        <is>
          <t>U1</t>
        </is>
      </c>
      <c r="B4" t="inlineStr">
        <is>
          <t>IC</t>
        </is>
      </c>
      <c r="C4" t="inlineStr">
        <is>
          <t>NE555 (8-pin DIP)</t>
        </is>
      </c>
      <c r="D4" t="inlineStr">
        <is>
          <t>1</t>
        </is>
      </c>
      <c r="E4" t="inlineStr">
        <is>
          <t>1</t>
        </is>
      </c>
      <c r="F4" t="inlineStr">
        <is>
          <t>15.0</t>
        </is>
      </c>
      <c r="G4" t="inlineStr">
        <is>
          <t>RS</t>
        </is>
      </c>
      <c r="H4" t="inlineStr">
        <is>
          <t>7190822</t>
        </is>
      </c>
    </row>
    <row r="5">
      <c r="A5" t="inlineStr">
        <is>
          <t>R1,R2</t>
        </is>
      </c>
      <c r="B5" t="inlineStr">
        <is>
          <t>Resistans</t>
        </is>
      </c>
      <c r="C5" t="inlineStr">
        <is>
          <t>100 kΩ, 1 MΩ (5% 1/8W)</t>
        </is>
      </c>
      <c r="D5" t="inlineStr">
        <is>
          <t>2</t>
        </is>
      </c>
      <c r="E5" t="inlineStr">
        <is>
          <t>2</t>
        </is>
      </c>
      <c r="F5" t="inlineStr">
        <is>
          <t>3.0</t>
        </is>
      </c>
      <c r="G5" t="inlineStr">
        <is>
          <t>RS</t>
        </is>
      </c>
      <c r="H5" t="inlineStr">
        <is>
          <t>1997793</t>
        </is>
      </c>
    </row>
    <row r="6">
      <c r="A6" t="inlineStr">
        <is>
          <t>R3,R5</t>
        </is>
      </c>
      <c r="B6" t="inlineStr">
        <is>
          <t>Resistans</t>
        </is>
      </c>
      <c r="C6" t="inlineStr">
        <is>
          <t>1 kΩ (5% 1/8W)</t>
        </is>
      </c>
      <c r="D6" t="inlineStr">
        <is>
          <t>2</t>
        </is>
      </c>
      <c r="E6" t="inlineStr">
        <is>
          <t>2</t>
        </is>
      </c>
      <c r="F6" t="inlineStr">
        <is>
          <t>3.0</t>
        </is>
      </c>
      <c r="G6" t="inlineStr">
        <is>
          <t>RS</t>
        </is>
      </c>
      <c r="H6" t="inlineStr">
        <is>
          <t>1997793</t>
        </is>
      </c>
    </row>
    <row r="7">
      <c r="A7" t="inlineStr">
        <is>
          <t>R4</t>
        </is>
      </c>
      <c r="B7" t="inlineStr">
        <is>
          <t>Resistans</t>
        </is>
      </c>
      <c r="C7" t="inlineStr">
        <is>
          <t>150 Ω (25% 1/8W)</t>
        </is>
      </c>
      <c r="D7" t="inlineStr">
        <is>
          <t>1</t>
        </is>
      </c>
      <c r="E7" t="inlineStr">
        <is>
          <t>1</t>
        </is>
      </c>
      <c r="F7" t="inlineStr">
        <is>
          <t>2.0</t>
        </is>
      </c>
      <c r="G7" t="inlineStr">
        <is>
          <t>RS</t>
        </is>
      </c>
      <c r="H7" t="inlineStr">
        <is>
          <t>1997793</t>
        </is>
      </c>
    </row>
    <row r="8">
      <c r="A8" t="inlineStr">
        <is>
          <t>C1</t>
        </is>
      </c>
      <c r="B8" t="inlineStr">
        <is>
          <t>Kondensator</t>
        </is>
      </c>
      <c r="C8" t="inlineStr">
        <is>
          <t>1 nF C0G (100nF)</t>
        </is>
      </c>
      <c r="D8" t="inlineStr">
        <is>
          <t>1</t>
        </is>
      </c>
      <c r="E8" t="inlineStr">
        <is>
          <t>1</t>
        </is>
      </c>
      <c r="F8" t="inlineStr">
        <is>
          <t>2.5</t>
        </is>
      </c>
      <c r="G8" t="inlineStr">
        <is>
          <t>Farnell</t>
        </is>
      </c>
      <c r="H8" t="inlineStr">
        <is>
          <t>dp/4540277</t>
        </is>
      </c>
    </row>
    <row r="9">
      <c r="A9" t="inlineStr">
        <is>
          <t>Q1</t>
        </is>
      </c>
      <c r="B9" t="inlineStr">
        <is>
          <t>Transistor</t>
        </is>
      </c>
      <c r="C9" t="inlineStr">
        <is>
          <t>2N2222 NPN (SOT-23)</t>
        </is>
      </c>
      <c r="D9" t="inlineStr">
        <is>
          <t>1</t>
        </is>
      </c>
      <c r="E9" t="inlineStr">
        <is>
          <t>1</t>
        </is>
      </c>
      <c r="F9" t="inlineStr">
        <is>
          <t>2.0</t>
        </is>
      </c>
      <c r="G9" t="inlineStr">
        <is>
          <t>Farnell</t>
        </is>
      </c>
      <c r="H9" t="inlineStr">
        <is>
          <t>dp/1612366</t>
        </is>
      </c>
    </row>
    <row r="10">
      <c r="A10" t="inlineStr">
        <is>
          <t>D1</t>
        </is>
      </c>
      <c r="B10" t="inlineStr">
        <is>
          <t>Diode</t>
        </is>
      </c>
      <c r="C10" t="inlineStr">
        <is>
          <t>1N4148 (fast, 0.4V drop)</t>
        </is>
      </c>
      <c r="D10" t="inlineStr">
        <is>
          <t>1</t>
        </is>
      </c>
      <c r="E10" t="inlineStr">
        <is>
          <t>1</t>
        </is>
      </c>
      <c r="F10" t="inlineStr">
        <is>
          <t>1.5</t>
        </is>
      </c>
      <c r="G10" t="inlineStr">
        <is>
          <t>Farnell</t>
        </is>
      </c>
      <c r="H10" t="inlineStr">
        <is>
          <t>dp/1612368</t>
        </is>
      </c>
    </row>
    <row r="11">
      <c r="A11" t="inlineStr">
        <is>
          <t>U2</t>
        </is>
      </c>
      <c r="B11" t="inlineStr">
        <is>
          <t>Relay</t>
        </is>
      </c>
      <c r="C11" t="inlineStr">
        <is>
          <t>5 V coil, 1 kV contact rating</t>
        </is>
      </c>
      <c r="D11" t="inlineStr">
        <is>
          <t>1</t>
        </is>
      </c>
      <c r="E11" t="inlineStr">
        <is>
          <t>1</t>
        </is>
      </c>
      <c r="F11" t="inlineStr">
        <is>
          <t>8.0</t>
        </is>
      </c>
      <c r="G11" t="inlineStr">
        <is>
          <t>Farnell</t>
        </is>
      </c>
      <c r="H11" t="inlineStr">
        <is>
          <t>5 V relay 1kV</t>
        </is>
      </c>
    </row>
    <row r="12">
      <c r="A12" t="inlineStr">
        <is>
          <t>S1</t>
        </is>
      </c>
      <c r="B12" t="inlineStr">
        <is>
          <t>Bryter</t>
        </is>
      </c>
      <c r="C12" t="inlineStr">
        <is>
          <t>SPST (interlock)</t>
        </is>
      </c>
      <c r="D12" t="inlineStr">
        <is>
          <t>1</t>
        </is>
      </c>
      <c r="E12" t="inlineStr">
        <is>
          <t>1</t>
        </is>
      </c>
      <c r="F12" t="inlineStr">
        <is>
          <t>5.0</t>
        </is>
      </c>
      <c r="G12" t="inlineStr">
        <is>
          <t>Farnell</t>
        </is>
      </c>
      <c r="H12" t="inlineStr">
        <is>
          <t>10 A SPST</t>
        </is>
      </c>
    </row>
    <row r="13">
      <c r="A13" t="inlineStr">
        <is>
          <t>J1-J3</t>
        </is>
      </c>
      <c r="B13" t="inlineStr">
        <is>
          <t>Header</t>
        </is>
      </c>
      <c r="C13" t="inlineStr">
        <is>
          <t>2x2 pin (2.54 mm pitch)</t>
        </is>
      </c>
      <c r="D13" t="inlineStr">
        <is>
          <t>3</t>
        </is>
      </c>
      <c r="E13" t="inlineStr">
        <is>
          <t>3</t>
        </is>
      </c>
      <c r="F13" t="inlineStr">
        <is>
          <t>1.0</t>
        </is>
      </c>
      <c r="G13" t="inlineStr">
        <is>
          <t>Farnell</t>
        </is>
      </c>
      <c r="H13" t="inlineStr">
        <is>
          <t>2x2 header</t>
        </is>
      </c>
    </row>
    <row r="14">
      <c r="A14" t="inlineStr">
        <is>
          <t>D2</t>
        </is>
      </c>
      <c r="B14" t="inlineStr">
        <is>
          <t>LED</t>
        </is>
      </c>
      <c r="C14" t="inlineStr">
        <is>
          <t>5 mm (5 V)</t>
        </is>
      </c>
      <c r="D14" t="inlineStr">
        <is>
          <t>1</t>
        </is>
      </c>
      <c r="E14" t="inlineStr">
        <is>
          <t>1</t>
        </is>
      </c>
      <c r="F14" t="inlineStr">
        <is>
          <t>1.0</t>
        </is>
      </c>
      <c r="G14" t="inlineStr">
        <is>
          <t>Farnell</t>
        </is>
      </c>
      <c r="H14" t="inlineStr">
        <is>
          <t>5 mm LED</t>
        </is>
      </c>
    </row>
    <row r="15">
      <c r="A15" t="inlineStr">
        <is>
          <t>R6,R7</t>
        </is>
      </c>
      <c r="B15" t="inlineStr">
        <is>
          <t>Resistans</t>
        </is>
      </c>
      <c r="C15" t="inlineStr">
        <is>
          <t>1 MΩ, 200 kΩ (1% 1/4W)</t>
        </is>
      </c>
      <c r="D15" t="inlineStr">
        <is>
          <t>2</t>
        </is>
      </c>
      <c r="E15" t="inlineStr">
        <is>
          <t>2</t>
        </is>
      </c>
      <c r="F15" t="inlineStr">
        <is>
          <t>3.5</t>
        </is>
      </c>
      <c r="G15" t="inlineStr">
        <is>
          <t>RS</t>
        </is>
      </c>
      <c r="H15" t="inlineStr">
        <is>
          <t>1997793</t>
        </is>
      </c>
    </row>
    <row r="16">
      <c r="A16" t="inlineStr">
        <is>
          <t>C_steg</t>
        </is>
      </c>
      <c r="B16" t="inlineStr">
        <is>
          <t>Kondensator</t>
        </is>
      </c>
      <c r="C16" t="inlineStr">
        <is>
          <t>2x 470 µF/250 V i serie (steg)</t>
        </is>
      </c>
      <c r="D16" t="inlineStr">
        <is>
          <t>10</t>
        </is>
      </c>
      <c r="E16" t="inlineStr">
        <is>
          <t>10</t>
        </is>
      </c>
      <c r="F16" t="inlineStr">
        <is>
          <t>15.0</t>
        </is>
      </c>
      <c r="G16" t="inlineStr">
        <is>
          <t>Søk</t>
        </is>
      </c>
      <c r="H16" t="inlineStr">
        <is>
          <t>470 µF 250 V</t>
        </is>
      </c>
    </row>
    <row r="17">
      <c r="A17" t="inlineStr">
        <is>
          <t>R_gap</t>
        </is>
      </c>
      <c r="B17" t="inlineStr">
        <is>
          <t>Gap</t>
        </is>
      </c>
      <c r="C17" t="inlineStr">
        <is>
          <t>5 x 0.15 mm gap</t>
        </is>
      </c>
      <c r="D17" t="inlineStr">
        <is>
          <t>5</t>
        </is>
      </c>
      <c r="E17" t="inlineStr">
        <is>
          <t>5</t>
        </is>
      </c>
      <c r="F17" t="inlineStr">
        <is>
          <t>5.0</t>
        </is>
      </c>
      <c r="G17" t="inlineStr">
        <is>
          <t>Bygg</t>
        </is>
      </c>
      <c r="H17" t="inlineStr">
        <is>
          <t>Gap</t>
        </is>
      </c>
    </row>
    <row r="18">
      <c r="A18" t="inlineStr">
        <is>
          <t>R_charge</t>
        </is>
      </c>
      <c r="B18" t="inlineStr">
        <is>
          <t>Resistans</t>
        </is>
      </c>
      <c r="C18" t="inlineStr">
        <is>
          <t>4.7 kΩ 1/4W</t>
        </is>
      </c>
      <c r="D18" t="inlineStr">
        <is>
          <t>1</t>
        </is>
      </c>
      <c r="E18" t="inlineStr">
        <is>
          <t>1</t>
        </is>
      </c>
      <c r="F18" t="inlineStr">
        <is>
          <t>1.5</t>
        </is>
      </c>
      <c r="G18" t="inlineStr">
        <is>
          <t>RS</t>
        </is>
      </c>
      <c r="H18" t="inlineStr">
        <is>
          <t>1997793</t>
        </is>
      </c>
    </row>
    <row r="19">
      <c r="A19" t="inlineStr">
        <is>
          <t>R6_off</t>
        </is>
      </c>
      <c r="B19" t="inlineStr">
        <is>
          <t>Resistans</t>
        </is>
      </c>
      <c r="C19" t="inlineStr">
        <is>
          <t>1 MΩ 1/4W (HV divider)</t>
        </is>
      </c>
      <c r="D19" t="inlineStr">
        <is>
          <t>1</t>
        </is>
      </c>
      <c r="E19" t="inlineStr">
        <is>
          <t>1</t>
        </is>
      </c>
      <c r="F19" t="inlineStr">
        <is>
          <t>1.5</t>
        </is>
      </c>
      <c r="G19" t="inlineStr">
        <is>
          <t>RS</t>
        </is>
      </c>
      <c r="H19" t="inlineStr">
        <is>
          <t>1997793</t>
        </is>
      </c>
    </row>
    <row r="20">
      <c r="A20" t="inlineStr">
        <is>
          <t>R7_off</t>
        </is>
      </c>
      <c r="B20" t="inlineStr">
        <is>
          <t>Resistans</t>
        </is>
      </c>
      <c r="C20" t="inlineStr">
        <is>
          <t>200 kΩ 1/4W (HV divider)</t>
        </is>
      </c>
      <c r="D20" t="inlineStr">
        <is>
          <t>1</t>
        </is>
      </c>
      <c r="E20" t="inlineStr">
        <is>
          <t>1</t>
        </is>
      </c>
      <c r="F20" t="inlineStr">
        <is>
          <t>1.5</t>
        </is>
      </c>
      <c r="G20" t="inlineStr">
        <is>
          <t>RS</t>
        </is>
      </c>
      <c r="H20" t="inlineStr">
        <is>
          <t>1997793</t>
        </is>
      </c>
    </row>
    <row r="21">
      <c r="A21" t="inlineStr">
        <is>
          <t>C_bleeder</t>
        </is>
      </c>
      <c r="B21" t="inlineStr">
        <is>
          <t>Kondensator</t>
        </is>
      </c>
      <c r="C21" t="inlineStr">
        <is>
          <t>1 µF/50 V (bleeder)</t>
        </is>
      </c>
      <c r="D21" t="inlineStr">
        <is>
          <t>1</t>
        </is>
      </c>
      <c r="E21" t="inlineStr">
        <is>
          <t>1</t>
        </is>
      </c>
      <c r="F21" t="inlineStr">
        <is>
          <t>2.0</t>
        </is>
      </c>
      <c r="G21" t="inlineStr">
        <is>
          <t>Søk</t>
        </is>
      </c>
      <c r="H21" t="inlineStr">
        <is>
          <t>1 µF 50 V</t>
        </is>
      </c>
    </row>
    <row r="23">
      <c r="A23" s="1" t="inlineStr">
        <is>
          <t>Sum</t>
        </is>
      </c>
      <c r="G23" s="1">
        <f>SUM(G4:G21)</f>
        <v/>
      </c>
    </row>
    <row r="24">
      <c r="A24" s="1" t="inlineStr">
        <is>
          <t>+25% MVA</t>
        </is>
      </c>
      <c r="G24" s="1">
        <f>G23*0.25</f>
        <v/>
      </c>
    </row>
    <row r="25">
      <c r="A25" s="1" t="inlineStr">
        <is>
          <t>Totalsum</t>
        </is>
      </c>
      <c r="G25" s="1">
        <f>G23+G24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2026-09-21T02:47:12Z</dcterms:created>
  <dcterms:modified xmlns:dcterms="http://purl.org/dc/terms/" xmlns:xsi="http://www.w3.org/2001/XMLSchema-instance" xsi:type="dcterms:W3CDTF">2026-09-21T02:47:12Z</dcterms:modified>
</cp:coreProperties>
</file>