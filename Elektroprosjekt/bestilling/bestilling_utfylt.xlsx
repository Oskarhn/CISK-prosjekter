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till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74" customWidth="1" min="3" max="3"/>
    <col width="9" customWidth="1" min="4" max="4"/>
    <col width="10" customWidth="1" min="5" max="5"/>
    <col width="18" customWidth="1" min="6" max="6"/>
    <col width="15" customWidth="1" min="7" max="7"/>
  </cols>
  <sheetData>
    <row r="1">
      <c r="A1" s="1" t="inlineStr">
        <is>
          <t>Bestilling av komponenter til prosjektet</t>
        </is>
      </c>
    </row>
    <row r="2">
      <c r="A2" s="2" t="inlineStr">
        <is>
          <t>Navn:</t>
        </is>
      </c>
      <c r="B2" t="inlineStr">
        <is>
          <t>Oskar</t>
        </is>
      </c>
    </row>
    <row r="3">
      <c r="A3" s="2" t="inlineStr">
        <is>
          <t>Tittel på prosjektet:</t>
        </is>
      </c>
      <c r="B3" t="inlineStr">
        <is>
          <t>EMP-generator (kondensatorutladningspuls) — ING2508 Kretsteknikk</t>
        </is>
      </c>
    </row>
    <row r="5">
      <c r="A5" s="3" t="inlineStr">
        <is>
          <t>Leverandør</t>
        </is>
      </c>
      <c r="B5" s="3" t="inlineStr">
        <is>
          <t>Varenr. (Farnell dp / RS stk)</t>
        </is>
      </c>
      <c r="C5" s="3" t="inlineStr">
        <is>
          <t>Beskrivelse</t>
        </is>
      </c>
      <c r="D5" s="3" t="inlineStr">
        <is>
          <t>Antall</t>
        </is>
      </c>
      <c r="E5" s="3" t="inlineStr">
        <is>
          <t>Min. kjøp</t>
        </is>
      </c>
      <c r="F5" s="3" t="inlineStr">
        <is>
          <t>pr.stk (NOK, ex MVA)</t>
        </is>
      </c>
      <c r="G5" s="3" t="inlineStr">
        <is>
          <t>Sum (NOK, ex MVA)</t>
        </is>
      </c>
    </row>
    <row r="6">
      <c r="A6" t="inlineStr">
        <is>
          <t>Farnell</t>
        </is>
      </c>
      <c r="B6" t="inlineStr">
        <is>
          <t>dp/3006909</t>
        </is>
      </c>
      <c r="C6" s="4" t="inlineStr">
        <is>
          <t>NE555P, 555-timer IC, DIP-8 (IC1)</t>
        </is>
      </c>
      <c r="D6" t="n">
        <v>1</v>
      </c>
      <c r="E6" t="n">
        <v>1</v>
      </c>
      <c r="F6" t="n">
        <v>13</v>
      </c>
      <c r="G6" t="n">
        <v>13</v>
      </c>
    </row>
    <row r="7">
      <c r="A7" t="inlineStr">
        <is>
          <t>RS</t>
        </is>
      </c>
      <c r="B7" t="inlineStr">
        <is>
          <t>8274057</t>
        </is>
      </c>
      <c r="C7" s="4" t="inlineStr">
        <is>
          <t>IRF3707, N-kanal kraft-MOSFET, 30 V, 62 A, Rds(on) 1,25 mΩ, TO-220AB</t>
        </is>
      </c>
      <c r="D7" t="n">
        <v>1</v>
      </c>
      <c r="E7" t="n">
        <v>1</v>
      </c>
      <c r="F7" t="n">
        <v>22</v>
      </c>
      <c r="G7" t="n">
        <v>22</v>
      </c>
    </row>
    <row r="8">
      <c r="A8" t="inlineStr">
        <is>
          <t>Farnell</t>
        </is>
      </c>
      <c r="B8" t="inlineStr">
        <is>
          <t>dp/4245037</t>
        </is>
      </c>
      <c r="C8" s="4" t="inlineStr">
        <is>
          <t>MUR1560, ultrahastig likeretterdiode, 15 A, 600 V, TO-220AC (farihjul D1)</t>
        </is>
      </c>
      <c r="D8" t="n">
        <v>1</v>
      </c>
      <c r="E8" t="n">
        <v>1</v>
      </c>
      <c r="F8" t="n">
        <v>12</v>
      </c>
      <c r="G8" t="n">
        <v>12</v>
      </c>
    </row>
    <row r="9">
      <c r="A9" t="inlineStr">
        <is>
          <t>Farnell</t>
        </is>
      </c>
      <c r="B9" t="inlineStr">
        <is>
          <t>dp/1612366</t>
        </is>
      </c>
      <c r="C9" s="4" t="inlineStr">
        <is>
          <t>1N4742A, Zenerdiode, 12 V, 1,3 W (gate-regulator D2)</t>
        </is>
      </c>
      <c r="D9" t="n">
        <v>1</v>
      </c>
      <c r="E9" t="n">
        <v>1</v>
      </c>
      <c r="F9" t="n">
        <v>6</v>
      </c>
      <c r="G9" t="n">
        <v>6</v>
      </c>
    </row>
    <row r="10">
      <c r="A10" t="inlineStr">
        <is>
          <t>Farnell</t>
        </is>
      </c>
      <c r="B10" t="inlineStr">
        <is>
          <t>dp/1612368</t>
        </is>
      </c>
      <c r="C10" s="4" t="inlineStr">
        <is>
          <t>1N4744A, Zenerdiode, 15 V, 1,3 W (gate-klamp D3)</t>
        </is>
      </c>
      <c r="D10" t="n">
        <v>1</v>
      </c>
      <c r="E10" t="n">
        <v>1</v>
      </c>
      <c r="F10" t="n">
        <v>6</v>
      </c>
      <c r="G10" t="n">
        <v>6</v>
      </c>
    </row>
    <row r="11">
      <c r="A11" t="inlineStr">
        <is>
          <t>Farnell</t>
        </is>
      </c>
      <c r="B11" t="inlineStr">
        <is>
          <t>dp/1827614</t>
        </is>
      </c>
      <c r="C11" s="4" t="inlineStr">
        <is>
          <t>SMBJ24A, TVS-diode, 24 V, 600 W, unipolar (forsyningsklamp D4)</t>
        </is>
      </c>
      <c r="D11" t="n">
        <v>1</v>
      </c>
      <c r="E11" t="n">
        <v>1</v>
      </c>
      <c r="F11" t="n">
        <v>9</v>
      </c>
      <c r="G11" t="n">
        <v>9</v>
      </c>
    </row>
    <row r="12">
      <c r="A12" t="inlineStr">
        <is>
          <t>Farnell</t>
        </is>
      </c>
      <c r="B12" t="inlineStr">
        <is>
          <t>dp/4540277</t>
        </is>
      </c>
      <c r="C12" s="4" t="inlineStr">
        <is>
          <t>MC0805N103J500CT, 10 nF, 50 V, C0G/NP0 kondensator, 0805 (555-timing C_TIM + trigger C3)</t>
        </is>
      </c>
      <c r="D12" t="n">
        <v>2</v>
      </c>
      <c r="E12" t="n">
        <v>5</v>
      </c>
      <c r="F12" t="n">
        <v>2</v>
      </c>
      <c r="G12" t="n">
        <v>10</v>
      </c>
    </row>
    <row r="13">
      <c r="A13" t="inlineStr">
        <is>
          <t>Farnell</t>
        </is>
      </c>
      <c r="B13" t="inlineStr">
        <is>
          <t>(søk: 100nF 50V X7R 0805)</t>
        </is>
      </c>
      <c r="C13" s="4" t="inlineStr">
        <is>
          <t>100 nF, 50 V, X7R kondensator, 0805 (555-CTRL-bypass C4)</t>
        </is>
      </c>
      <c r="D13" t="n">
        <v>1</v>
      </c>
      <c r="E13" t="n">
        <v>5</v>
      </c>
      <c r="F13" t="n">
        <v>2</v>
      </c>
      <c r="G13" t="n">
        <v>10</v>
      </c>
    </row>
    <row r="14">
      <c r="A14" t="inlineStr">
        <is>
          <t>Farnell</t>
        </is>
      </c>
      <c r="B14" t="inlineStr">
        <is>
          <t>dp/3764157</t>
        </is>
      </c>
      <c r="C14" s="4" t="inlineStr">
        <is>
          <t>0805X106M250CP, 10 µF, 25 V kondensator, 0805 (555-bulk C5)</t>
        </is>
      </c>
      <c r="D14" t="n">
        <v>1</v>
      </c>
      <c r="E14" t="n">
        <v>5</v>
      </c>
      <c r="F14" t="n">
        <v>2.5</v>
      </c>
      <c r="G14" t="n">
        <v>12.5</v>
      </c>
    </row>
    <row r="15">
      <c r="A15" t="inlineStr">
        <is>
          <t>Farnell</t>
        </is>
      </c>
      <c r="B15" t="inlineStr">
        <is>
          <t>CRCW08059K70FKEA (bekreft)</t>
        </is>
      </c>
      <c r="C15" s="4" t="inlineStr">
        <is>
          <t>9,70 kΩ, 1 %, 0,125 W motstand, 0805 (555-timing R1)</t>
        </is>
      </c>
      <c r="D15" t="n">
        <v>1</v>
      </c>
      <c r="E15" t="n">
        <v>5</v>
      </c>
      <c r="F15" t="n">
        <v>1.5</v>
      </c>
      <c r="G15" t="n">
        <v>7.5</v>
      </c>
    </row>
    <row r="16">
      <c r="A16" t="inlineStr">
        <is>
          <t>Farnell</t>
        </is>
      </c>
      <c r="B16" t="inlineStr">
        <is>
          <t>(søk: 10k 0805)</t>
        </is>
      </c>
      <c r="C16" s="4" t="inlineStr">
        <is>
          <t>10 kΩ motstand, 0805 (R2 trigger + R4 gate pull-down)</t>
        </is>
      </c>
      <c r="D16" t="n">
        <v>2</v>
      </c>
      <c r="E16" t="n">
        <v>5</v>
      </c>
      <c r="F16" t="n">
        <v>1.5</v>
      </c>
      <c r="G16" t="n">
        <v>7.5</v>
      </c>
    </row>
    <row r="17">
      <c r="A17" t="inlineStr">
        <is>
          <t>Farnell</t>
        </is>
      </c>
      <c r="B17" t="inlineStr">
        <is>
          <t>(søk: 10R 0.5W 0805)</t>
        </is>
      </c>
      <c r="C17" s="4" t="inlineStr">
        <is>
          <t>10 Ω, 0,5 W motstand, 0805 (gatestyring R3)</t>
        </is>
      </c>
      <c r="D17" t="n">
        <v>1</v>
      </c>
      <c r="E17" t="n">
        <v>5</v>
      </c>
      <c r="F17" t="n">
        <v>1.5</v>
      </c>
      <c r="G17" t="n">
        <v>7.5</v>
      </c>
    </row>
    <row r="18">
      <c r="A18" t="inlineStr">
        <is>
          <t>Farnell</t>
        </is>
      </c>
      <c r="B18" t="inlineStr">
        <is>
          <t>(søk: 820R 0805)</t>
        </is>
      </c>
      <c r="C18" s="4" t="inlineStr">
        <is>
          <t>820 Ω motstand, 0805 (12 V-skinne R9)</t>
        </is>
      </c>
      <c r="D18" t="n">
        <v>1</v>
      </c>
      <c r="E18" t="n">
        <v>5</v>
      </c>
      <c r="F18" t="n">
        <v>1.5</v>
      </c>
      <c r="G18" t="n">
        <v>7.5</v>
      </c>
    </row>
    <row r="19">
      <c r="A19" t="inlineStr">
        <is>
          <t>RS</t>
        </is>
      </c>
      <c r="B19" t="inlineStr">
        <is>
          <t>6835685</t>
        </is>
      </c>
      <c r="C19" s="4" t="inlineStr">
        <is>
          <t>100 Ω, 2 W, metal film motstand, gjennomhull (lading R_CHG)</t>
        </is>
      </c>
      <c r="D19" t="n">
        <v>1</v>
      </c>
      <c r="E19" t="n">
        <v>1</v>
      </c>
      <c r="F19" t="n">
        <v>7</v>
      </c>
      <c r="G19" t="n">
        <v>7</v>
      </c>
    </row>
    <row r="20">
      <c r="A20" t="inlineStr">
        <is>
          <t>RS</t>
        </is>
      </c>
      <c r="B20" t="inlineStr">
        <is>
          <t>0732294</t>
        </is>
      </c>
      <c r="C20" s="4" t="inlineStr">
        <is>
          <t>FWFU5WR47J, 0,47 Ω, 5 W, wirewound motstand, gjennomhull (farihjul R_FW)</t>
        </is>
      </c>
      <c r="D20" t="n">
        <v>1</v>
      </c>
      <c r="E20" t="n">
        <v>1</v>
      </c>
      <c r="F20" t="n">
        <v>12</v>
      </c>
      <c r="G20" t="n">
        <v>12</v>
      </c>
    </row>
    <row r="21">
      <c r="A21" t="inlineStr">
        <is>
          <t>RS</t>
        </is>
      </c>
      <c r="B21" t="inlineStr">
        <is>
          <t>1249291</t>
        </is>
      </c>
      <c r="C21" s="4" t="inlineStr">
        <is>
          <t>15FR010E, 0,01 Ω, 5 W, 1 %, wirewound shunt motstand (strømsens R_SHUNT)</t>
        </is>
      </c>
      <c r="D21" t="n">
        <v>1</v>
      </c>
      <c r="E21" t="n">
        <v>1</v>
      </c>
      <c r="F21" t="n">
        <v>20</v>
      </c>
      <c r="G21" t="n">
        <v>20</v>
      </c>
    </row>
    <row r="22">
      <c r="A22" t="inlineStr">
        <is>
          <t>RS</t>
        </is>
      </c>
      <c r="B22" t="inlineStr">
        <is>
          <t>1997793</t>
        </is>
      </c>
      <c r="C22" s="4" t="inlineStr">
        <is>
          <t>MF0204FTE52-10K, 10 kΩ, 0,4 W, 1 % motstand, gjennomhull (utlading R_BLEED)</t>
        </is>
      </c>
      <c r="D22" t="n">
        <v>1</v>
      </c>
      <c r="E22" t="n">
        <v>1</v>
      </c>
      <c r="F22" t="n">
        <v>4</v>
      </c>
      <c r="G22" t="n">
        <v>4</v>
      </c>
    </row>
    <row r="23">
      <c r="A23" t="inlineStr">
        <is>
          <t>RS</t>
        </is>
      </c>
      <c r="B23" t="inlineStr">
        <is>
          <t>7083945</t>
        </is>
      </c>
      <c r="C23" s="4" t="inlineStr">
        <is>
          <t>EEUFR1H471, 470 µF, 50 V, lav-ESR elektrokondensator, radial (C1 + C2)</t>
        </is>
      </c>
      <c r="D23" t="n">
        <v>2</v>
      </c>
      <c r="E23" t="n">
        <v>1</v>
      </c>
      <c r="F23" t="n">
        <v>18</v>
      </c>
      <c r="G23" t="n">
        <v>36</v>
      </c>
    </row>
    <row r="24">
      <c r="A24" t="inlineStr">
        <is>
          <t>RS</t>
        </is>
      </c>
      <c r="B24" t="inlineStr">
        <is>
          <t>1468345</t>
        </is>
      </c>
      <c r="C24" s="4" t="inlineStr">
        <is>
          <t>CTB0509, terminalblokk, 2-polig, 5,08 mm, PCB (forsyning TB1)</t>
        </is>
      </c>
      <c r="D24" t="n">
        <v>1</v>
      </c>
      <c r="E24" t="n">
        <v>1</v>
      </c>
      <c r="F24" t="n">
        <v>6</v>
      </c>
      <c r="G24" t="n">
        <v>6</v>
      </c>
    </row>
    <row r="25">
      <c r="A25" t="inlineStr">
        <is>
          <t>RS</t>
        </is>
      </c>
      <c r="B25" t="inlineStr">
        <is>
          <t>(søk: 6x6 tact switch)</t>
        </is>
      </c>
      <c r="C25" s="4" t="inlineStr">
        <is>
          <t>Taktbryter, 6 × 6 mm (avfyringsknapp S1)</t>
        </is>
      </c>
      <c r="D25" t="n">
        <v>1</v>
      </c>
      <c r="E25" t="n">
        <v>1</v>
      </c>
      <c r="F25" t="n">
        <v>3</v>
      </c>
      <c r="G25" t="n">
        <v>3</v>
      </c>
    </row>
    <row r="26">
      <c r="A26" t="inlineStr">
        <is>
          <t>RS</t>
        </is>
      </c>
      <c r="B26" t="inlineStr">
        <is>
          <t>2272142 / 2518137</t>
        </is>
      </c>
      <c r="C26" s="4" t="inlineStr">
        <is>
          <t>PH2 pin header, 2,54 mm, 2-polig + 6-polig (mottak UT + testpunkter)</t>
        </is>
      </c>
      <c r="D26" t="n">
        <v>2</v>
      </c>
      <c r="E26" t="n">
        <v>1</v>
      </c>
      <c r="F26" t="n">
        <v>4</v>
      </c>
      <c r="G26" t="n">
        <v>8</v>
      </c>
    </row>
    <row r="27">
      <c r="A27" t="inlineStr">
        <is>
          <t>RS</t>
        </is>
      </c>
      <c r="B27" t="inlineStr">
        <is>
          <t>7790735</t>
        </is>
      </c>
      <c r="C27" s="4" t="inlineStr">
        <is>
          <t>Magnetledning, 1,0 mm OD, 0,82 mm², emaljeringsdekket kobber, 56 m (sender COIL_T)</t>
        </is>
      </c>
      <c r="D27" t="n">
        <v>1</v>
      </c>
      <c r="E27" t="n">
        <v>1</v>
      </c>
      <c r="F27" t="n">
        <v>45</v>
      </c>
      <c r="G27" t="n">
        <v>45</v>
      </c>
    </row>
    <row r="28">
      <c r="A28" t="inlineStr">
        <is>
          <t>RS</t>
        </is>
      </c>
      <c r="B28" t="inlineStr">
        <is>
          <t>0534116</t>
        </is>
      </c>
      <c r="C28" s="4" t="inlineStr">
        <is>
          <t>Magnetledning, 0,5 mm OD, 0,2 mm², emaljeringsdekket kobber, 25 m (mottak PU)</t>
        </is>
      </c>
      <c r="D28" t="n">
        <v>1</v>
      </c>
      <c r="E28" t="n">
        <v>1</v>
      </c>
      <c r="F28" t="n">
        <v>40</v>
      </c>
      <c r="G28" t="n">
        <v>40</v>
      </c>
    </row>
    <row r="29">
      <c r="A29" t="inlineStr">
        <is>
          <t>RS</t>
        </is>
      </c>
      <c r="B29" t="inlineStr">
        <is>
          <t>177-1103</t>
        </is>
      </c>
      <c r="C29" s="4" t="inlineStr">
        <is>
          <t>Plasttube, 31 mm OD, PVC (spoleform, kuttes til ~20 mm)</t>
        </is>
      </c>
      <c r="D29" t="n">
        <v>1</v>
      </c>
      <c r="E29" t="n">
        <v>1</v>
      </c>
      <c r="F29" t="n">
        <v>12</v>
      </c>
      <c r="G29" t="n">
        <v>12</v>
      </c>
    </row>
    <row r="30">
      <c r="A30" t="inlineStr">
        <is>
          <t>RS</t>
        </is>
      </c>
      <c r="B30" t="inlineStr">
        <is>
          <t>190-4271</t>
        </is>
      </c>
      <c r="C30" s="4" t="inlineStr">
        <is>
          <t>Skruer/fot, M3 × 6 mm, nylon, ×4 (under spoletube)</t>
        </is>
      </c>
      <c r="D30" t="n">
        <v>4</v>
      </c>
      <c r="E30" t="n">
        <v>1</v>
      </c>
      <c r="F30" t="n">
        <v>1.5</v>
      </c>
      <c r="G30" t="n">
        <v>6</v>
      </c>
    </row>
    <row r="31">
      <c r="A31" t="inlineStr">
        <is>
          <t>PCB</t>
        </is>
      </c>
      <c r="B31" t="inlineStr">
        <is>
          <t>RS PCB-service</t>
        </is>
      </c>
      <c r="C31" s="4" t="inlineStr">
        <is>
          <t>PCB 80 × 80 mm, 2-lags, 35 µm Cu, 1,6 mm FR-4, matt tenn, 5 stk</t>
        </is>
      </c>
      <c r="D31" t="n">
        <v>5</v>
      </c>
      <c r="E31" t="n">
        <v>1</v>
      </c>
      <c r="F31" t="n">
        <v>50</v>
      </c>
      <c r="G31" t="n">
        <v>250</v>
      </c>
    </row>
    <row r="32">
      <c r="A32" s="2" t="inlineStr">
        <is>
          <t>Kommentarer (hvis noen)</t>
        </is>
      </c>
      <c r="D32" s="2" t="inlineStr">
        <is>
          <t>Sum</t>
        </is>
      </c>
      <c r="G32">
        <f>SUM(G6:G31)</f>
        <v/>
      </c>
    </row>
    <row r="33">
      <c r="D33" t="inlineStr">
        <is>
          <t>+25 % MVA</t>
        </is>
      </c>
      <c r="G33">
        <f>ROUND(G32*0.25,2)</f>
        <v/>
      </c>
    </row>
    <row r="34">
      <c r="D34" s="2" t="inlineStr">
        <is>
          <t>Totalsum</t>
        </is>
      </c>
      <c r="G34" s="2">
        <f>G32+G33</f>
        <v/>
      </c>
    </row>
    <row r="36">
      <c r="A36" t="inlineStr">
        <is>
          <t>Merknader:</t>
        </is>
      </c>
    </row>
    <row r="37">
      <c r="A37" t="inlineStr">
        <is>
          <t>1. Varenumrene er verifisert mot RS (no.rs-online.com) og Farnell (no.farnell.com) 09.09.2026.</t>
        </is>
      </c>
    </row>
    <row r="38">
      <c r="A38" t="inlineStr">
        <is>
          <t xml:space="preserve">   Prisene er NOK-estimat uten MVA. Sjekk varenummer, lager og pris i varekurven før bestilling.</t>
        </is>
      </c>
    </row>
    <row r="39">
      <c r="A39" t="inlineStr">
        <is>
          <t>2. Fallbacker (samme spesifikasjon, tillatt i oppgaven):</t>
        </is>
      </c>
    </row>
    <row r="40">
      <c r="A40" t="inlineStr">
        <is>
          <t xml:space="preserve">   R_SHUNT 0,01 Ω -&gt; to × 0,02 Ω 5 W i serie; MUR1560 -&gt; MUR1520 (60 V er nok);</t>
        </is>
      </c>
    </row>
    <row r="41">
      <c r="A41" t="inlineStr">
        <is>
          <t xml:space="preserve">   IRF3707 -&gt; 30-60 V N-kanal MOSFET med Rds(on) &lt;= 2 mΩ (ved 48 V-test kreves 60 V+ Vds);</t>
        </is>
      </c>
    </row>
    <row r="42">
      <c r="A42" t="inlineStr">
        <is>
          <t xml:space="preserve">   0,47 Ω 5 W wirewound -&gt; 0,5 Ω 5 W viklet motstand; C0G 10 nF -&gt; NP0 10 nF 50 V 0805.</t>
        </is>
      </c>
    </row>
    <row r="43">
      <c r="A43" t="inlineStr">
        <is>
          <t>3. Sum-kolonnen bruker max(antall, min. kjøp) × pris.</t>
        </is>
      </c>
    </row>
    <row r="44">
      <c r="A44" t="inlineStr">
        <is>
          <t>4. Utenfor labutstyr (ikke bestilt): 24 V / 3 A labforsyning, oscilloscope (&gt;=100 MHz, 2 kanaler),</t>
        </is>
      </c>
    </row>
    <row r="45">
      <c r="A45" t="inlineStr">
        <is>
          <t xml:space="preserve">   DMM, LCM-meter (eller 10 Ω + 0,1 Ω shunt for tidskonstant-metoden).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2026-09-12T00:19:59Z</dcterms:created>
  <dcterms:modified xmlns:dcterms="http://purl.org/dc/terms/" xmlns:xsi="http://www.w3.org/2001/XMLSchema-instance" xsi:type="dcterms:W3CDTF">2026-09-12T00:19:59Z</dcterms:modified>
</cp:coreProperties>
</file>