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2" customWidth="1" min="3" max="3"/>
    <col width="9" customWidth="1" min="4" max="4"/>
    <col width="10" customWidth="1" min="5" max="5"/>
    <col width="9" customWidth="1" min="6" max="6"/>
    <col width="10" customWidth="1" min="7" max="7"/>
  </cols>
  <sheetData>
    <row r="1">
      <c r="A1" s="1" t="inlineStr">
        <is>
          <t>Bestilling av komponenter til prosjektet</t>
        </is>
      </c>
    </row>
    <row r="2">
      <c r="A2" t="inlineStr">
        <is>
          <t xml:space="preserve">Navn:  </t>
        </is>
      </c>
    </row>
    <row r="3">
      <c r="A3" t="inlineStr">
        <is>
          <t>Title av prosjektet:  EMP generator (capacitor-discharge coil driver, 24 V / 940 uF / 6.7 uH / 15 T)</t>
        </is>
      </c>
    </row>
    <row r="5">
      <c r="A5" s="2" t="inlineStr">
        <is>
          <t>Leverandør</t>
        </is>
      </c>
      <c r="B5" s="2" t="inlineStr">
        <is>
          <t>Vare nr./ RS stk.no</t>
        </is>
      </c>
      <c r="C5" s="2" t="inlineStr">
        <is>
          <t>Beskrivelse</t>
        </is>
      </c>
      <c r="D5" s="2" t="inlineStr">
        <is>
          <t>Antall</t>
        </is>
      </c>
      <c r="E5" s="2" t="inlineStr">
        <is>
          <t>Min. Kjøp</t>
        </is>
      </c>
      <c r="F5" s="2" t="inlineStr">
        <is>
          <t>pr.stk</t>
        </is>
      </c>
      <c r="G5" s="2" t="inlineStr">
        <is>
          <t>Sum</t>
        </is>
      </c>
    </row>
    <row r="6">
      <c r="A6" t="inlineStr">
        <is>
          <t>Farnell</t>
        </is>
      </c>
      <c r="B6" t="inlineStr">
        <is>
          <t>1065735</t>
        </is>
      </c>
      <c r="C6" t="inlineStr">
        <is>
          <t>NE555P 555 timer IC, DIP-8</t>
        </is>
      </c>
      <c r="D6" t="n">
        <v>1</v>
      </c>
      <c r="E6" t="n">
        <v>1</v>
      </c>
      <c r="F6" t="n">
        <v>13</v>
      </c>
      <c r="G6">
        <f>MAX(D6,E6)*F6</f>
        <v/>
      </c>
    </row>
    <row r="7">
      <c r="A7" t="inlineStr">
        <is>
          <t>Farnell</t>
        </is>
      </c>
      <c r="B7" t="inlineStr">
        <is>
          <t>2125840</t>
        </is>
      </c>
      <c r="C7" t="inlineStr">
        <is>
          <t>IRF3707 N-ch power MOSFET, 75 V, Rds(on) 1.25 mOhm, TO-220</t>
        </is>
      </c>
      <c r="D7" t="n">
        <v>1</v>
      </c>
      <c r="E7" t="n">
        <v>1</v>
      </c>
      <c r="F7" t="n">
        <v>22</v>
      </c>
      <c r="G7">
        <f>MAX(D7,E7)*F7</f>
        <v/>
      </c>
    </row>
    <row r="8">
      <c r="A8" t="inlineStr">
        <is>
          <t>Farnell</t>
        </is>
      </c>
      <c r="B8" t="inlineStr">
        <is>
          <t>1269600</t>
        </is>
      </c>
      <c r="C8" t="inlineStr">
        <is>
          <t>MUR1560 ultrafast rectifier diode, 15 A, 600 V</t>
        </is>
      </c>
      <c r="D8" t="n">
        <v>1</v>
      </c>
      <c r="E8" t="n">
        <v>1</v>
      </c>
      <c r="F8" t="n">
        <v>12</v>
      </c>
      <c r="G8">
        <f>MAX(D8,E8)*F8</f>
        <v/>
      </c>
    </row>
    <row r="9">
      <c r="A9" t="inlineStr">
        <is>
          <t>Farnell</t>
        </is>
      </c>
      <c r="B9" t="inlineStr">
        <is>
          <t>1036698</t>
        </is>
      </c>
      <c r="C9" t="inlineStr">
        <is>
          <t>1N4742A Zener diode, 12 V, 1 W</t>
        </is>
      </c>
      <c r="D9" t="n">
        <v>1</v>
      </c>
      <c r="E9" t="n">
        <v>1</v>
      </c>
      <c r="F9" t="n">
        <v>6</v>
      </c>
      <c r="G9">
        <f>MAX(D9,E9)*F9</f>
        <v/>
      </c>
    </row>
    <row r="10">
      <c r="A10" t="inlineStr">
        <is>
          <t>Farnell</t>
        </is>
      </c>
      <c r="B10" t="inlineStr">
        <is>
          <t>1036723</t>
        </is>
      </c>
      <c r="C10" t="inlineStr">
        <is>
          <t>1N4744A Zener diode, 15 V, 1 W</t>
        </is>
      </c>
      <c r="D10" t="n">
        <v>1</v>
      </c>
      <c r="E10" t="n">
        <v>1</v>
      </c>
      <c r="F10" t="n">
        <v>6</v>
      </c>
      <c r="G10">
        <f>MAX(D10,E10)*F10</f>
        <v/>
      </c>
    </row>
    <row r="11">
      <c r="A11" t="inlineStr">
        <is>
          <t>Farnell</t>
        </is>
      </c>
      <c r="B11" t="inlineStr">
        <is>
          <t>1095994</t>
        </is>
      </c>
      <c r="C11" t="inlineStr">
        <is>
          <t>10 nF 50 V C0G/NP0 capacitor, 0805</t>
        </is>
      </c>
      <c r="D11" t="n">
        <v>2</v>
      </c>
      <c r="E11" t="n">
        <v>5</v>
      </c>
      <c r="F11" t="n">
        <v>2</v>
      </c>
      <c r="G11">
        <f>MAX(D11,E11)*F11</f>
        <v/>
      </c>
    </row>
    <row r="12">
      <c r="A12" t="inlineStr">
        <is>
          <t>Farnell</t>
        </is>
      </c>
      <c r="B12" t="inlineStr">
        <is>
          <t>1095985</t>
        </is>
      </c>
      <c r="C12" t="inlineStr">
        <is>
          <t>100 nF 50 V X7R capacitor, 0805</t>
        </is>
      </c>
      <c r="D12" t="n">
        <v>1</v>
      </c>
      <c r="E12" t="n">
        <v>5</v>
      </c>
      <c r="F12" t="n">
        <v>2</v>
      </c>
      <c r="G12">
        <f>MAX(D12,E12)*F12</f>
        <v/>
      </c>
    </row>
    <row r="13">
      <c r="A13" t="inlineStr">
        <is>
          <t>Farnell</t>
        </is>
      </c>
      <c r="B13" t="inlineStr">
        <is>
          <t>1096027</t>
        </is>
      </c>
      <c r="C13" t="inlineStr">
        <is>
          <t>10 uF 25 V X7R capacitor, 0805</t>
        </is>
      </c>
      <c r="D13" t="n">
        <v>1</v>
      </c>
      <c r="E13" t="n">
        <v>5</v>
      </c>
      <c r="F13" t="n">
        <v>2.5</v>
      </c>
      <c r="G13">
        <f>MAX(D13,E13)*F13</f>
        <v/>
      </c>
    </row>
    <row r="14">
      <c r="A14" t="inlineStr">
        <is>
          <t>Farnell</t>
        </is>
      </c>
      <c r="B14" t="inlineStr">
        <is>
          <t>1454676</t>
        </is>
      </c>
      <c r="C14" t="inlineStr">
        <is>
          <t>9.7 kohm 1% resistor, 0805 (555 timing R1)</t>
        </is>
      </c>
      <c r="D14" t="n">
        <v>1</v>
      </c>
      <c r="E14" t="n">
        <v>5</v>
      </c>
      <c r="F14" t="n">
        <v>1.5</v>
      </c>
      <c r="G14">
        <f>MAX(D14,E14)*F14</f>
        <v/>
      </c>
    </row>
    <row r="15">
      <c r="A15" t="inlineStr">
        <is>
          <t>Farnell</t>
        </is>
      </c>
      <c r="B15" t="inlineStr">
        <is>
          <t>1454684</t>
        </is>
      </c>
      <c r="C15" t="inlineStr">
        <is>
          <t>10 kohm resistor, 0805 (R2 trigger, R4 gate pull-down)</t>
        </is>
      </c>
      <c r="D15" t="n">
        <v>2</v>
      </c>
      <c r="E15" t="n">
        <v>5</v>
      </c>
      <c r="F15" t="n">
        <v>1.5</v>
      </c>
      <c r="G15">
        <f>MAX(D15,E15)*F15</f>
        <v/>
      </c>
    </row>
    <row r="16">
      <c r="A16" t="inlineStr">
        <is>
          <t>RS</t>
        </is>
      </c>
      <c r="B16" t="inlineStr">
        <is>
          <t>1997793</t>
        </is>
      </c>
      <c r="C16" t="inlineStr">
        <is>
          <t>10 kohm 0.4 W 1% resistor, through-hole (bleeder R_BLEED)</t>
        </is>
      </c>
      <c r="D16" t="n">
        <v>1</v>
      </c>
      <c r="E16" t="n">
        <v>1</v>
      </c>
      <c r="F16" t="n">
        <v>1.5</v>
      </c>
      <c r="G16">
        <f>MAX(D16,E16)*F16</f>
        <v/>
      </c>
    </row>
    <row r="17">
      <c r="A17" t="inlineStr">
        <is>
          <t>Farnell</t>
        </is>
      </c>
      <c r="B17" t="inlineStr">
        <is>
          <t>1454556</t>
        </is>
      </c>
      <c r="C17" t="inlineStr">
        <is>
          <t>10 ohm 0.5 W resistor, 0805 (gate drive R3)</t>
        </is>
      </c>
      <c r="D17" t="n">
        <v>1</v>
      </c>
      <c r="E17" t="n">
        <v>5</v>
      </c>
      <c r="F17" t="n">
        <v>1.5</v>
      </c>
      <c r="G17">
        <f>MAX(D17,E17)*F17</f>
        <v/>
      </c>
    </row>
    <row r="18">
      <c r="A18" t="inlineStr">
        <is>
          <t>Farnell</t>
        </is>
      </c>
      <c r="B18" t="inlineStr">
        <is>
          <t>1454664</t>
        </is>
      </c>
      <c r="C18" t="inlineStr">
        <is>
          <t>820 ohm resistor, 0805 (12 V rail R9)</t>
        </is>
      </c>
      <c r="D18" t="n">
        <v>1</v>
      </c>
      <c r="E18" t="n">
        <v>5</v>
      </c>
      <c r="F18" t="n">
        <v>1.5</v>
      </c>
      <c r="G18">
        <f>MAX(D18,E18)*F18</f>
        <v/>
      </c>
    </row>
    <row r="19">
      <c r="A19" t="inlineStr">
        <is>
          <t>RS</t>
        </is>
      </c>
      <c r="B19" t="inlineStr">
        <is>
          <t>188-9651</t>
        </is>
      </c>
      <c r="C19" t="inlineStr">
        <is>
          <t>100 ohm 2 W metal film resistor, through-hole (charge R_CHG)</t>
        </is>
      </c>
      <c r="D19" t="n">
        <v>1</v>
      </c>
      <c r="E19" t="n">
        <v>1</v>
      </c>
      <c r="F19" t="n">
        <v>7</v>
      </c>
      <c r="G19">
        <f>MAX(D19,E19)*F19</f>
        <v/>
      </c>
    </row>
    <row r="20">
      <c r="A20" t="inlineStr">
        <is>
          <t>RS</t>
        </is>
      </c>
      <c r="B20" t="inlineStr">
        <is>
          <t>147-1981</t>
        </is>
      </c>
      <c r="C20" t="inlineStr">
        <is>
          <t>0.5 ohm 5 W wirewound resistor, through-hole (freewheel R_FW)</t>
        </is>
      </c>
      <c r="D20" t="n">
        <v>1</v>
      </c>
      <c r="E20" t="n">
        <v>1</v>
      </c>
      <c r="F20" t="n">
        <v>12</v>
      </c>
      <c r="G20">
        <f>MAX(D20,E20)*F20</f>
        <v/>
      </c>
    </row>
    <row r="21">
      <c r="A21" t="inlineStr">
        <is>
          <t>RS</t>
        </is>
      </c>
      <c r="B21" t="inlineStr">
        <is>
          <t>147-2264</t>
        </is>
      </c>
      <c r="C21" t="inlineStr">
        <is>
          <t>0.01 ohm 5 W wirewound shunt resistor (current sense R_SHUNT)</t>
        </is>
      </c>
      <c r="D21" t="n">
        <v>1</v>
      </c>
      <c r="E21" t="n">
        <v>1</v>
      </c>
      <c r="F21" t="n">
        <v>20</v>
      </c>
      <c r="G21">
        <f>MAX(D21,E21)*F21</f>
        <v/>
      </c>
    </row>
    <row r="22">
      <c r="A22" t="inlineStr">
        <is>
          <t>RS</t>
        </is>
      </c>
      <c r="B22" t="inlineStr">
        <is>
          <t>187-2637</t>
        </is>
      </c>
      <c r="C22" t="inlineStr">
        <is>
          <t>470 uF 50 V low-ESR electrolytic capacitor, radial (C1+C2)</t>
        </is>
      </c>
      <c r="D22" t="n">
        <v>2</v>
      </c>
      <c r="E22" t="n">
        <v>1</v>
      </c>
      <c r="F22" t="n">
        <v>18</v>
      </c>
      <c r="G22">
        <f>MAX(D22,E22)*F22</f>
        <v/>
      </c>
    </row>
    <row r="23">
      <c r="A23" t="inlineStr">
        <is>
          <t>RS</t>
        </is>
      </c>
      <c r="B23" t="inlineStr">
        <is>
          <t>819-6715</t>
        </is>
      </c>
      <c r="C23" t="inlineStr">
        <is>
          <t>SMBJ24A TVS diode, 24 V, unidirectional (supply clamp D4)</t>
        </is>
      </c>
      <c r="D23" t="n">
        <v>1</v>
      </c>
      <c r="E23" t="n">
        <v>1</v>
      </c>
      <c r="F23" t="n">
        <v>9</v>
      </c>
      <c r="G23">
        <f>MAX(D23,E23)*F23</f>
        <v/>
      </c>
    </row>
    <row r="24">
      <c r="A24" t="inlineStr">
        <is>
          <t>RS</t>
        </is>
      </c>
      <c r="B24" t="inlineStr">
        <is>
          <t>178-4749</t>
        </is>
      </c>
      <c r="C24" t="inlineStr">
        <is>
          <t>Tact switch, 6x6 mm (fire button S1)</t>
        </is>
      </c>
      <c r="D24" t="n">
        <v>1</v>
      </c>
      <c r="E24" t="n">
        <v>1</v>
      </c>
      <c r="F24" t="n">
        <v>3</v>
      </c>
      <c r="G24">
        <f>MAX(D24,E24)*F24</f>
        <v/>
      </c>
    </row>
    <row r="25">
      <c r="A25" t="inlineStr">
        <is>
          <t>RS</t>
        </is>
      </c>
      <c r="B25" t="inlineStr">
        <is>
          <t>177-1896</t>
        </is>
      </c>
      <c r="C25" t="inlineStr">
        <is>
          <t>Terminal block, 5.08 mm pitch, 2-pin PCB (supply input)</t>
        </is>
      </c>
      <c r="D25" t="n">
        <v>1</v>
      </c>
      <c r="E25" t="n">
        <v>1</v>
      </c>
      <c r="F25" t="n">
        <v>6</v>
      </c>
      <c r="G25">
        <f>MAX(D25,E25)*F25</f>
        <v/>
      </c>
    </row>
    <row r="26">
      <c r="A26" t="inlineStr">
        <is>
          <t>RS</t>
        </is>
      </c>
      <c r="B26" t="inlineStr">
        <is>
          <t>714-6726</t>
        </is>
      </c>
      <c r="C26" t="inlineStr">
        <is>
          <t>Pin header 2.54 mm (pickup output 2-pin + test points 6-pin)</t>
        </is>
      </c>
      <c r="D26" t="n">
        <v>2</v>
      </c>
      <c r="E26" t="n">
        <v>1</v>
      </c>
      <c r="F26" t="n">
        <v>4</v>
      </c>
      <c r="G26">
        <f>MAX(D26,E26)*F26</f>
        <v/>
      </c>
    </row>
    <row r="27">
      <c r="A27" t="inlineStr">
        <is>
          <t>RS</t>
        </is>
      </c>
      <c r="B27" t="inlineStr">
        <is>
          <t>173-5262</t>
        </is>
      </c>
      <c r="C27" t="inlineStr">
        <is>
          <t>Magnet wire, 1.0 mm enamelled copper, 17 AWG, 10 m (transmitter coil)</t>
        </is>
      </c>
      <c r="D27" t="n">
        <v>1</v>
      </c>
      <c r="E27" t="n">
        <v>1</v>
      </c>
      <c r="F27" t="n">
        <v>45</v>
      </c>
      <c r="G27">
        <f>MAX(D27,E27)*F27</f>
        <v/>
      </c>
    </row>
    <row r="28">
      <c r="A28" t="inlineStr">
        <is>
          <t>RS</t>
        </is>
      </c>
      <c r="B28" t="inlineStr">
        <is>
          <t>173-5265</t>
        </is>
      </c>
      <c r="C28" t="inlineStr">
        <is>
          <t>Magnet wire, 0.5 mm enamelled copper, 32 AWG, 10 m (pickup coil)</t>
        </is>
      </c>
      <c r="D28" t="n">
        <v>1</v>
      </c>
      <c r="E28" t="n">
        <v>1</v>
      </c>
      <c r="F28" t="n">
        <v>40</v>
      </c>
      <c r="G28">
        <f>MAX(D28,E28)*F28</f>
        <v/>
      </c>
    </row>
    <row r="29">
      <c r="A29" t="inlineStr">
        <is>
          <t>RS</t>
        </is>
      </c>
      <c r="B29" t="inlineStr">
        <is>
          <t>177-1103</t>
        </is>
      </c>
      <c r="C29" t="inlineStr">
        <is>
          <t>Plastic tubing 31 mm OD PVC (coil former, cut to ~20 mm)</t>
        </is>
      </c>
      <c r="D29" t="n">
        <v>1</v>
      </c>
      <c r="E29" t="n">
        <v>1</v>
      </c>
      <c r="F29" t="n">
        <v>12</v>
      </c>
      <c r="G29">
        <f>MAX(D29,E29)*F29</f>
        <v/>
      </c>
    </row>
    <row r="30">
      <c r="A30" t="inlineStr">
        <is>
          <t>RS</t>
        </is>
      </c>
      <c r="B30" t="inlineStr">
        <is>
          <t>190-4271</t>
        </is>
      </c>
      <c r="C30" t="inlineStr">
        <is>
          <t>Standoffs, M3 x 6 mm, nylon (x4 under coil tube)</t>
        </is>
      </c>
      <c r="D30" t="n">
        <v>4</v>
      </c>
      <c r="E30" t="n">
        <v>1</v>
      </c>
      <c r="F30" t="n">
        <v>1.5</v>
      </c>
      <c r="G30">
        <f>MAX(D30,E30)*F30</f>
        <v/>
      </c>
    </row>
    <row r="31">
      <c r="A31" t="inlineStr">
        <is>
          <t>PCB</t>
        </is>
      </c>
      <c r="B31" t="inlineStr">
        <is>
          <t>RS PCB service</t>
        </is>
      </c>
      <c r="C31" t="inlineStr">
        <is>
          <t>PCB 80x80 mm, 2-layer, 35 um Cu, 1.6 mm FR-4, 5 pcs</t>
        </is>
      </c>
      <c r="D31" t="n">
        <v>5</v>
      </c>
      <c r="E31" t="n">
        <v>1</v>
      </c>
      <c r="F31" t="n">
        <v>50</v>
      </c>
      <c r="G31">
        <f>MAX(D31,E31)*F31</f>
        <v/>
      </c>
    </row>
    <row r="32">
      <c r="A32" t="inlineStr">
        <is>
          <t>kommentarer (hvis noen)</t>
        </is>
      </c>
      <c r="D32" s="3" t="inlineStr">
        <is>
          <t>Sum</t>
        </is>
      </c>
      <c r="G32" s="3">
        <f>SUM(G6:G31)</f>
        <v/>
      </c>
    </row>
    <row r="33">
      <c r="D33" t="inlineStr">
        <is>
          <t>+25%MVA</t>
        </is>
      </c>
      <c r="G33">
        <f>G32*0.25</f>
        <v/>
      </c>
    </row>
    <row r="34">
      <c r="D34" s="3" t="inlineStr">
        <is>
          <t>Totalsum</t>
        </is>
      </c>
      <c r="G34" s="3">
        <f>G32+G33</f>
        <v/>
      </c>
    </row>
    <row r="35"/>
    <row r="36">
      <c r="A36" t="inlineStr">
        <is>
          <t>NOTES:</t>
        </is>
      </c>
    </row>
    <row r="37">
      <c r="A37" t="inlineStr">
        <is>
          <t>1. Part numbers are from the RS/Farnell catalog. Verify stock and price on no.farnell.com / no.rs-online.com</t>
        </is>
      </c>
    </row>
    <row r="38">
      <c r="A38" t="inlineStr">
        <is>
          <t xml:space="preserve">   before ordering; any in-stock part meeting the spec is acceptable per the assignment.</t>
        </is>
      </c>
    </row>
    <row r="39">
      <c r="A39" t="inlineStr">
        <is>
          <t>2. Fallbacks: R_SHUNT 0.01 ohm -&gt; 2 x 0.02 ohm 5 W in series; 470 uF 50 V -&gt; any low-ESR type ESR &lt;= 25 mohm; 0.5 ohm -&gt; 0.47 ohm 5 W;</t>
        </is>
      </c>
    </row>
    <row r="40">
      <c r="A40" t="inlineStr">
        <is>
          <t xml:space="preserve">   MUR1560 -&gt; MUR1520 (60 V is sufficient); IRF3707 -&gt; any 30 V N-ch TO-220AB with Rds(on) &lt;= 1.6 mOhm @ 10 V; SMBJ24A -&gt; SMAJ24A.</t>
        </is>
      </c>
    </row>
    <row r="41">
      <c r="A41" t="inlineStr">
        <is>
          <t>3. Prices are NOK estimates ex. MVA; Sum column uses max(antall, min. kjop) x pr.stk, matching the template examples.</t>
        </is>
      </c>
    </row>
    <row r="42">
      <c r="A42" t="inlineStr">
        <is>
          <t>4. External lab equipment (not ordered): 24 V / 3 A bench PSU, oscilloscope &gt;= 100 MHz / 2 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2026-09-04T12:05:19Z</dcterms:created>
  <dcterms:modified xmlns:dcterms="http://purl.org/dc/terms/" xmlns:xsi="http://www.w3.org/2001/XMLSchema-instance" xsi:type="dcterms:W3CDTF">2026-09-16T11:25:25Z</dcterms:modified>
</cp:coreProperties>
</file>